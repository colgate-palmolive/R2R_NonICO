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40" yWindow="110" windowWidth="14810" windowHeight="8010" activeTab="1"/>
  </bookViews>
  <sheets>
    <sheet name="Sheet1" sheetId="1" r:id="rId1"/>
    <sheet name="FXRates" sheetId="3" r:id="rId2"/>
    <sheet name="ICO" sheetId="4" r:id="rId3"/>
  </sheets>
  <calcPr calcId="144525"/>
</workbook>
</file>

<file path=xl/calcChain.xml><?xml version="1.0" encoding="utf-8"?>
<calcChain xmlns="http://schemas.openxmlformats.org/spreadsheetml/2006/main">
  <c r="AJ2" i="1" l="1"/>
  <c r="AI2" i="1"/>
  <c r="AH2" i="1"/>
  <c r="AG2" i="1"/>
  <c r="AF2" i="1"/>
  <c r="AE2" i="1"/>
  <c r="AK2" i="1" l="1"/>
  <c r="AL2" i="1" a="1"/>
  <c r="AL2" i="1" l="1"/>
  <c r="AP2" i="1" l="1"/>
  <c r="AD2" i="1" l="1"/>
  <c r="AO2" i="1"/>
</calcChain>
</file>

<file path=xl/sharedStrings.xml><?xml version="1.0" encoding="utf-8"?>
<sst xmlns="http://schemas.openxmlformats.org/spreadsheetml/2006/main" count="69" uniqueCount="61">
  <si>
    <t>Company Code</t>
  </si>
  <si>
    <t>Account</t>
  </si>
  <si>
    <t>Document Number</t>
  </si>
  <si>
    <t>Posting Date</t>
  </si>
  <si>
    <t>Document Date</t>
  </si>
  <si>
    <t>Document type</t>
  </si>
  <si>
    <t>Reference</t>
  </si>
  <si>
    <t>Vendor</t>
  </si>
  <si>
    <t>Local Currency</t>
  </si>
  <si>
    <t>Amount in Local Currency</t>
  </si>
  <si>
    <t>Document Currency</t>
  </si>
  <si>
    <t>Amount in Doc. Curr.</t>
  </si>
  <si>
    <t>Group Currency</t>
  </si>
  <si>
    <t>Item</t>
  </si>
  <si>
    <t>Purchasing Document</t>
  </si>
  <si>
    <t>Year/Month</t>
  </si>
  <si>
    <t>Line item</t>
  </si>
  <si>
    <t>Offsetting Account</t>
  </si>
  <si>
    <t>Material</t>
  </si>
  <si>
    <t>Payment Terms</t>
  </si>
  <si>
    <t>Cost Center</t>
  </si>
  <si>
    <t>Clearing Date</t>
  </si>
  <si>
    <t>Clearing Document</t>
  </si>
  <si>
    <t>Quantity</t>
  </si>
  <si>
    <t>Plant</t>
  </si>
  <si>
    <t>Posting Key</t>
  </si>
  <si>
    <t>Text</t>
  </si>
  <si>
    <t>Document Header Text</t>
  </si>
  <si>
    <t>Reference key 3</t>
  </si>
  <si>
    <t>Payment block</t>
  </si>
  <si>
    <t>Type of GL account</t>
  </si>
  <si>
    <t>USD</t>
  </si>
  <si>
    <t>Sum of Local Currency on PO and line item level</t>
  </si>
  <si>
    <t>Aging</t>
  </si>
  <si>
    <t>Range of aging</t>
  </si>
  <si>
    <t>Write off criteria (AG Require)</t>
  </si>
  <si>
    <t>Intercompany Policy</t>
  </si>
  <si>
    <t>Write off status</t>
  </si>
  <si>
    <t>MR11 Document number</t>
  </si>
  <si>
    <t>Posting error message</t>
  </si>
  <si>
    <t>Date of the prior month</t>
  </si>
  <si>
    <t>Helper</t>
  </si>
  <si>
    <t>Cl.</t>
  </si>
  <si>
    <t>ExRt</t>
  </si>
  <si>
    <t>From</t>
  </si>
  <si>
    <t>To</t>
  </si>
  <si>
    <t>Valid from</t>
  </si>
  <si>
    <t>Exch. Rate</t>
  </si>
  <si>
    <t>Ratio (from)</t>
  </si>
  <si>
    <t>Ratio (to)</t>
  </si>
  <si>
    <t>321</t>
  </si>
  <si>
    <t>M</t>
  </si>
  <si>
    <t>79799470</t>
  </si>
  <si>
    <t>Payment Block</t>
  </si>
  <si>
    <t>Document Type</t>
  </si>
  <si>
    <t>Net due date</t>
  </si>
  <si>
    <t>Amount in doc. curr.</t>
  </si>
  <si>
    <t>Document currency</t>
  </si>
  <si>
    <t>G/L Account</t>
  </si>
  <si>
    <t>Offsetting acct no.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</si>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</sst>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263238"/>
      <name val="Roboto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28">
    <xf numFmtId="0" fontId="0" fillId="0" borderId="0" xfId="0"/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>
      <alignment horizontal="left" vertical="top"/>
    </xf>
    <xf numFmtId="14" fontId="0" fillId="0" borderId="0" xfId="0" applyNumberFormat="1" applyFill="1" applyAlignment="1" applyProtection="1"/>
    <xf numFmtId="4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0" fontId="0" fillId="2" borderId="1" xfId="0" applyNumberFormat="1" applyFill="1" applyBorder="1" applyAlignment="1" applyProtection="1">
      <alignment vertical="top"/>
    </xf>
    <xf numFmtId="1" fontId="0" fillId="2" borderId="1" xfId="0" applyNumberFormat="1" applyFill="1" applyBorder="1" applyAlignment="1" applyProtection="1">
      <alignment vertical="top"/>
    </xf>
    <xf numFmtId="0" fontId="0" fillId="2" borderId="1" xfId="0" applyNumberFormat="1" applyFill="1" applyBorder="1" applyAlignment="1" applyProtection="1">
      <alignment vertical="top" wrapText="1"/>
    </xf>
    <xf numFmtId="0" fontId="0" fillId="3" borderId="1" xfId="0" applyNumberFormat="1" applyFill="1" applyBorder="1" applyAlignment="1" applyProtection="1">
      <alignment vertical="top"/>
    </xf>
    <xf numFmtId="2" fontId="0" fillId="3" borderId="1" xfId="0" applyNumberFormat="1" applyFill="1" applyBorder="1" applyAlignment="1" applyProtection="1">
      <alignment vertical="top"/>
    </xf>
    <xf numFmtId="164" fontId="0" fillId="3" borderId="1" xfId="0" applyNumberFormat="1" applyFill="1" applyBorder="1" applyAlignment="1" applyProtection="1">
      <alignment vertical="top"/>
    </xf>
    <xf numFmtId="164" fontId="0" fillId="0" borderId="0" xfId="0" applyNumberFormat="1" applyFill="1" applyAlignment="1" applyProtection="1">
      <alignment vertical="top"/>
    </xf>
    <xf numFmtId="1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/>
    </xf>
    <xf numFmtId="0" fontId="2" fillId="0" borderId="0" xfId="0" applyNumberFormat="1" applyFont="1" applyFill="1" applyAlignment="1" applyProtection="1">
      <alignment vertical="top"/>
    </xf>
    <xf numFmtId="0" fontId="1" fillId="0" borderId="0" xfId="0" applyNumberFormat="1" applyFont="1" applyFill="1" applyAlignment="1" applyProtection="1">
      <alignment vertical="top"/>
    </xf>
    <xf numFmtId="3" fontId="2" fillId="0" borderId="0" xfId="0" applyNumberFormat="1" applyFont="1" applyFill="1" applyAlignment="1" applyProtection="1">
      <alignment horizontal="right" vertical="top"/>
    </xf>
    <xf numFmtId="0" fontId="0" fillId="3" borderId="1" xfId="0" applyNumberFormat="1" applyFill="1" applyBorder="1" applyAlignment="1" applyProtection="1">
      <alignment vertical="top" wrapText="1"/>
    </xf>
    <xf numFmtId="0" fontId="0" fillId="4" borderId="1" xfId="0" applyNumberFormat="1" applyFill="1" applyBorder="1" applyAlignment="1" applyProtection="1">
      <alignment vertical="top"/>
    </xf>
    <xf numFmtId="0" fontId="5" fillId="5" borderId="0" xfId="0" applyNumberFormat="1" applyFont="1" applyFill="1" applyBorder="1" applyAlignment="1" applyProtection="1">
      <alignment vertical="top"/>
    </xf>
    <xf numFmtId="3" fontId="5" fillId="5" borderId="0" xfId="0" applyNumberFormat="1" applyFont="1" applyFill="1" applyBorder="1" applyAlignment="1" applyProtection="1">
      <alignment horizontal="right" vertical="top"/>
    </xf>
    <xf numFmtId="0" fontId="6" fillId="0" borderId="0" xfId="0" applyNumberFormat="1" applyFont="1" applyFill="1" applyBorder="1" applyAlignment="1" applyProtection="1"/>
    <xf numFmtId="0" fontId="6" fillId="5" borderId="0" xfId="0" applyNumberFormat="1" applyFont="1" applyFill="1" applyBorder="1" applyAlignment="1" applyProtection="1"/>
    <xf numFmtId="0" fontId="7" fillId="0" borderId="0" xfId="0" applyFont="1" applyAlignment="1">
      <alignment horizontal="left"/>
    </xf>
    <xf numFmtId="49" fontId="0" fillId="2" borderId="1" xfId="0" applyNumberFormat="1" applyFill="1" applyBorder="1" applyAlignment="1" applyProtection="1">
      <alignment vertical="top"/>
    </xf>
    <xf numFmtId="49" fontId="0" fillId="0" borderId="0" xfId="0" applyNumberFormat="1" applyFill="1" applyAlignment="1" applyProtection="1"/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topLeftCell="AC1" workbookViewId="0">
      <selection activeCell="AC2" sqref="AC2"/>
    </sheetView>
  </sheetViews>
  <sheetFormatPr defaultRowHeight="14.5"/>
  <cols>
    <col min="1" max="1" width="13.54296875" style="1" bestFit="1" customWidth="1"/>
    <col min="2" max="2" width="26.81640625" style="13" customWidth="1"/>
    <col min="3" max="3" width="16.81640625" style="27" bestFit="1" customWidth="1"/>
    <col min="4" max="4" width="11.1796875" style="1" bestFit="1" customWidth="1"/>
    <col min="5" max="5" width="19" style="1" customWidth="1"/>
    <col min="6" max="6" width="9.1796875" style="1" customWidth="1"/>
    <col min="7" max="7" width="10.81640625" style="1" bestFit="1" customWidth="1"/>
    <col min="8" max="9" width="9.1796875" style="1" customWidth="1"/>
    <col min="10" max="10" width="31.36328125" style="1" customWidth="1"/>
    <col min="11" max="11" width="9.1796875" style="1" customWidth="1"/>
    <col min="12" max="12" width="23.90625" style="1" customWidth="1"/>
    <col min="13" max="14" width="9.1796875" style="1" customWidth="1"/>
    <col min="15" max="15" width="19.08984375" style="1" bestFit="1" customWidth="1"/>
    <col min="16" max="17" width="9.1796875" style="1" customWidth="1"/>
    <col min="18" max="18" width="16.26953125" style="27" bestFit="1" customWidth="1"/>
    <col min="19" max="19" width="9.1796875" style="1" customWidth="1"/>
    <col min="20" max="20" width="13.81640625" style="1" bestFit="1" customWidth="1"/>
    <col min="21" max="21" width="10.453125" style="1" bestFit="1" customWidth="1"/>
    <col min="22" max="22" width="11.90625" style="1" bestFit="1" customWidth="1"/>
    <col min="23" max="23" width="24.1796875" style="1" customWidth="1"/>
    <col min="24" max="25" width="9.1796875" style="1" customWidth="1"/>
    <col min="26" max="26" width="11.6328125" style="13" customWidth="1"/>
    <col min="27" max="27" width="22.7265625" style="1" customWidth="1"/>
    <col min="28" max="28" width="24.54296875" style="1" customWidth="1"/>
    <col min="29" max="29" width="20" style="1" customWidth="1"/>
    <col min="30" max="30" width="13" style="1" bestFit="1" customWidth="1"/>
    <col min="31" max="31" width="20.1796875" style="1" bestFit="1" customWidth="1"/>
    <col min="32" max="32" width="23.1796875" style="5" customWidth="1"/>
    <col min="33" max="33" width="14.36328125" style="1" bestFit="1" customWidth="1"/>
    <col min="34" max="34" width="10.6328125" style="1" customWidth="1"/>
    <col min="35" max="35" width="13" style="1" bestFit="1" customWidth="1"/>
    <col min="36" max="36" width="14.6328125" style="1" bestFit="1" customWidth="1"/>
    <col min="37" max="37" width="17.81640625" style="1" bestFit="1" customWidth="1"/>
    <col min="38" max="38" width="13.81640625" style="1" bestFit="1" customWidth="1"/>
    <col min="39" max="39" width="22.08984375" style="1" bestFit="1" customWidth="1"/>
    <col min="40" max="40" width="19.36328125" style="1" bestFit="1" customWidth="1"/>
    <col min="41" max="41" width="20.81640625" style="14" bestFit="1" customWidth="1"/>
    <col min="42" max="42" width="9.453125" style="14" hidden="1" customWidth="1"/>
    <col min="43" max="43" width="19.36328125" bestFit="1" customWidth="1"/>
  </cols>
  <sheetData>
    <row r="1" spans="1:43" s="15" customFormat="1" ht="58" customHeight="1">
      <c r="A1" s="6" t="s">
        <v>0</v>
      </c>
      <c r="B1" s="7" t="s">
        <v>1</v>
      </c>
      <c r="C1" s="2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9" t="s">
        <v>29</v>
      </c>
      <c r="AE1" s="9" t="s">
        <v>30</v>
      </c>
      <c r="AF1" s="10" t="s">
        <v>31</v>
      </c>
      <c r="AG1" s="1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20" t="s">
        <v>37</v>
      </c>
      <c r="AM1" s="9" t="s">
        <v>38</v>
      </c>
      <c r="AN1" s="9" t="s">
        <v>39</v>
      </c>
      <c r="AO1" s="11" t="s">
        <v>40</v>
      </c>
      <c r="AP1" s="12" t="s">
        <v>41</v>
      </c>
      <c r="AQ1" s="9" t="s">
        <v>60</v>
      </c>
    </row>
    <row r="2" spans="1:43">
      <c r="D2" s="3"/>
      <c r="E2" s="3"/>
      <c r="J2" s="4"/>
      <c r="AD2" s="1" t="str">
        <f>IF(ISNA(VLOOKUP(G2,ICO!$C:$D,2,0)),"",VLOOKUP(G2,ICO!$C:$D,2,0))</f>
        <v/>
      </c>
      <c r="AE2" s="1" t="str">
        <f>IF(A2&lt;&gt;"",(IF(OR(VALUE(Z2)=40,VALUE(Z2)=50),"Delivery Cost Accounts",IF(OR(VALUE(Z2)=86,VALUE(Z2)=96),"GR/IR Clearing Account","Other accounts"))),"")</f>
        <v/>
      </c>
      <c r="AF2" s="5" t="str">
        <f>IF(A2&lt;&gt;"",(J2*VLOOKUP(I2,FXRates!C:G,4,FALSE)/VLOOKUP(I2,FXRates!C:G,5,FALSE)),"")</f>
        <v/>
      </c>
      <c r="AG2" s="1" t="str">
        <f>IF(A2&lt;&gt;"",(SUMIF(AP:AP,AP:AP,J:J)),"")</f>
        <v/>
      </c>
      <c r="AH2" s="1" t="str">
        <f>IF(A2&lt;&gt;"",($AO$2-D2),"")</f>
        <v/>
      </c>
      <c r="AI2" s="1" t="str">
        <f>IF(A2&lt;&gt;"",(IF(AH2&gt;=361,"&gt; 360 Days",IF(AH2&gt;=181,"181 - 360 days",IF(AH2&gt;=151,"151-180 Days",IF(AH2&gt;=91,"91-150 Days",IF(AH2&gt;=61,"61-90 Days",IF(AH2&gt;=31,"31-60 Days","0-30 Days"))))))),"")</f>
        <v/>
      </c>
      <c r="AJ2" s="1" t="str">
        <f>IF(A2&lt;&gt;"",(IF(AND(AF2&gt;=-10000,AF2&lt;=10000,AH2&gt;180),"Within AP limit","Above AP limit")),"")</f>
        <v/>
      </c>
      <c r="AK2" s="1" t="str">
        <f>IF(AND(TRIM(F2)&lt;&gt;"",UPPER(F2)="RE",LEFT(R2,2) = "CC",TRIM(O2)&lt;&gt;""),IF(AND(AG2&gt;=0,LEFT(R2,2) = "CC",AD2&lt;&gt;"R",UPPER(F2)="RE"),"X",""),"")</f>
        <v/>
      </c>
      <c r="AL2" s="25" t="str">
        <f t="array" aca="1" ref="AL2" ca="1">IF(F2="RE",AK2,IFERROR(INDEX(AK$1:INDIRECT("AK"&amp;COUNTA(A:A)),MATCH(1,("RE"=F$1:INDIRECT("F"&amp;COUNTA(A:A)))*(O2=O$1:INDIRECT("O"&amp;COUNTA(A:A)))*(N2=N$1:INDIRECT("N"&amp;COUNTA(A:A))),0)),""))</f>
        <v/>
      </c>
      <c r="AO2" s="2">
        <f ca="1">EOMONTH(TODAY(),-1)</f>
        <v>44043</v>
      </c>
      <c r="AP2" s="14" t="str">
        <f>CONCATENATE(B2&amp;"-"&amp;N2&amp;"-"&amp;O2)</f>
        <v>--</v>
      </c>
    </row>
    <row r="3" spans="1:43">
      <c r="D3" s="3"/>
    </row>
    <row r="4" spans="1:43">
      <c r="D4" s="3"/>
      <c r="E4" s="3"/>
      <c r="J4" s="4"/>
    </row>
    <row r="5" spans="1:43">
      <c r="D5" s="3"/>
    </row>
    <row r="6" spans="1:43">
      <c r="D6" s="3"/>
      <c r="E6" s="3"/>
    </row>
    <row r="7" spans="1:43">
      <c r="D7" s="3"/>
    </row>
    <row r="8" spans="1:43">
      <c r="D8" s="3"/>
      <c r="E8" s="3"/>
      <c r="J8" s="4"/>
    </row>
    <row r="14" spans="1:43">
      <c r="D14" s="3"/>
      <c r="E14" s="3"/>
      <c r="J14" s="4"/>
    </row>
    <row r="16" spans="1:43">
      <c r="D16" s="3"/>
      <c r="E16" s="3"/>
      <c r="J16" s="4"/>
    </row>
    <row r="18" spans="4:10">
      <c r="D18" s="3"/>
      <c r="E18" s="3"/>
    </row>
    <row r="20" spans="4:10">
      <c r="D20" s="3"/>
      <c r="E20" s="3"/>
      <c r="J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4" sqref="C4"/>
    </sheetView>
  </sheetViews>
  <sheetFormatPr defaultRowHeight="14.5"/>
  <cols>
    <col min="1" max="4" width="9.1796875" style="1" customWidth="1"/>
    <col min="5" max="5" width="9.90625" style="1" bestFit="1" customWidth="1"/>
    <col min="6" max="6" width="13.54296875" style="1" bestFit="1" customWidth="1"/>
  </cols>
  <sheetData>
    <row r="1" spans="1:8" s="23" customFormat="1">
      <c r="A1" s="21" t="s">
        <v>42</v>
      </c>
      <c r="B1" s="21" t="s">
        <v>43</v>
      </c>
      <c r="C1" s="21" t="s">
        <v>44</v>
      </c>
      <c r="D1" s="21" t="s">
        <v>45</v>
      </c>
      <c r="E1" s="21" t="s">
        <v>46</v>
      </c>
      <c r="F1" s="21" t="s">
        <v>47</v>
      </c>
      <c r="G1" s="22" t="s">
        <v>48</v>
      </c>
      <c r="H1" s="22" t="s">
        <v>49</v>
      </c>
    </row>
    <row r="2" spans="1:8" s="23" customFormat="1">
      <c r="A2" s="23" t="s">
        <v>50</v>
      </c>
      <c r="B2" s="23" t="s">
        <v>51</v>
      </c>
      <c r="C2" s="23" t="s">
        <v>31</v>
      </c>
      <c r="D2" s="23" t="s">
        <v>31</v>
      </c>
      <c r="E2" s="23" t="s">
        <v>52</v>
      </c>
      <c r="F2" s="23">
        <v>1</v>
      </c>
      <c r="G2" s="23">
        <v>1</v>
      </c>
      <c r="H2" s="23">
        <v>1</v>
      </c>
    </row>
    <row r="3" spans="1:8">
      <c r="A3" s="16"/>
      <c r="B3" s="16"/>
      <c r="C3" s="16"/>
      <c r="D3" s="16"/>
      <c r="E3" s="16"/>
      <c r="F3" s="17"/>
      <c r="G3" s="18"/>
      <c r="H3" s="18"/>
    </row>
    <row r="4" spans="1:8">
      <c r="A4" s="16"/>
      <c r="B4" s="16"/>
      <c r="C4" s="16"/>
      <c r="D4" s="16"/>
      <c r="E4" s="16"/>
      <c r="F4" s="17"/>
      <c r="G4" s="18"/>
      <c r="H4" s="18"/>
    </row>
    <row r="5" spans="1:8">
      <c r="G5" s="1"/>
      <c r="H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E8" sqref="E8"/>
    </sheetView>
  </sheetViews>
  <sheetFormatPr defaultRowHeight="14.5"/>
  <cols>
    <col min="1" max="1" width="15.08984375" customWidth="1"/>
    <col min="2" max="2" width="11.08984375" customWidth="1"/>
    <col min="3" max="3" width="9.1796875" bestFit="1" customWidth="1"/>
    <col min="4" max="4" width="13" bestFit="1" customWidth="1"/>
    <col min="5" max="5" width="16.81640625" bestFit="1" customWidth="1"/>
    <col min="6" max="6" width="14" bestFit="1" customWidth="1"/>
    <col min="7" max="7" width="13.90625" bestFit="1" customWidth="1"/>
    <col min="8" max="8" width="11.1796875" bestFit="1" customWidth="1"/>
    <col min="9" max="9" width="11.54296875" bestFit="1" customWidth="1"/>
    <col min="10" max="10" width="18.08984375" bestFit="1" customWidth="1"/>
    <col min="11" max="11" width="17.26953125" bestFit="1" customWidth="1"/>
    <col min="12" max="12" width="14.81640625" customWidth="1"/>
    <col min="13" max="13" width="16" bestFit="1" customWidth="1"/>
  </cols>
  <sheetData>
    <row r="1" spans="1:13">
      <c r="A1" s="24" t="s">
        <v>0</v>
      </c>
      <c r="B1" s="24" t="s">
        <v>7</v>
      </c>
      <c r="C1" s="24" t="s">
        <v>6</v>
      </c>
      <c r="D1" s="24" t="s">
        <v>53</v>
      </c>
      <c r="E1" s="24" t="s">
        <v>2</v>
      </c>
      <c r="F1" s="24" t="s">
        <v>54</v>
      </c>
      <c r="G1" s="24" t="s">
        <v>4</v>
      </c>
      <c r="H1" s="24" t="s">
        <v>3</v>
      </c>
      <c r="I1" s="24" t="s">
        <v>55</v>
      </c>
      <c r="J1" s="24" t="s">
        <v>56</v>
      </c>
      <c r="K1" s="24" t="s">
        <v>57</v>
      </c>
      <c r="L1" s="24" t="s">
        <v>58</v>
      </c>
      <c r="M1" s="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FXRates</vt:lpstr>
      <vt:lpstr>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2020-08-18T07:58:48Z</dcterms:modified>
</cp:coreProperties>
</file>